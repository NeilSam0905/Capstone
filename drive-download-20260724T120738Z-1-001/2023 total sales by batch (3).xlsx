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ales February Batch" sheetId="1" r:id="rId4"/>
    <sheet state="visible" name="total sales MARCH BATCH" sheetId="2" r:id="rId5"/>
    <sheet state="visible" name=" total sales APRIL BATCH" sheetId="3" r:id="rId6"/>
    <sheet state="visible" name="TOTAL SALES MAY BATCH" sheetId="4" r:id="rId7"/>
    <sheet state="visible" name="june  batch" sheetId="5" r:id="rId8"/>
    <sheet state="visible" name="july-aug" sheetId="6" r:id="rId9"/>
  </sheets>
  <definedNames/>
  <calcPr/>
</workbook>
</file>

<file path=xl/sharedStrings.xml><?xml version="1.0" encoding="utf-8"?>
<sst xmlns="http://schemas.openxmlformats.org/spreadsheetml/2006/main" count="209" uniqueCount="78">
  <si>
    <t>ITEMS (regular price)</t>
  </si>
  <si>
    <t>START</t>
  </si>
  <si>
    <t>PCS SOLD</t>
  </si>
  <si>
    <t>SALES</t>
  </si>
  <si>
    <t>END</t>
  </si>
  <si>
    <t>Item</t>
  </si>
  <si>
    <t>Total Quantity</t>
  </si>
  <si>
    <t>Amount</t>
  </si>
  <si>
    <t>Item Price</t>
  </si>
  <si>
    <t xml:space="preserve">T- SHIRT </t>
  </si>
  <si>
    <t>Shirts</t>
  </si>
  <si>
    <t>University of Santo Tomas (B) @449</t>
  </si>
  <si>
    <t>Hoodies</t>
  </si>
  <si>
    <t>XS</t>
  </si>
  <si>
    <t>Tote Bag Black (230)</t>
  </si>
  <si>
    <t>University of Santo Tomas (Y) @449</t>
  </si>
  <si>
    <t>Tote Bag White (200)</t>
  </si>
  <si>
    <t>Golf Umbrella</t>
  </si>
  <si>
    <t>University of Santo Tomas (W) @449</t>
  </si>
  <si>
    <t>Total:</t>
  </si>
  <si>
    <t xml:space="preserve"> Script Santo Tomas with Tiger Back (B) @479</t>
  </si>
  <si>
    <t>UST Sales:</t>
  </si>
  <si>
    <t xml:space="preserve"> Script Santo Tomas with Tiger Back (Y)@479</t>
  </si>
  <si>
    <t xml:space="preserve"> Script Santo Tomas with Tiger Back  (W)@479</t>
  </si>
  <si>
    <t xml:space="preserve"> UST Tiger Front and Back Graphic (B) @499</t>
  </si>
  <si>
    <t xml:space="preserve"> UST Tiger Front and Back Graphic (Y) @499</t>
  </si>
  <si>
    <t xml:space="preserve"> UST Tiger Front and Back Graphic (W)@499</t>
  </si>
  <si>
    <t xml:space="preserve">JACKETS/HOODIE </t>
  </si>
  <si>
    <t>SIDE TIGER(WG) 1479</t>
  </si>
  <si>
    <t>SIDE TIGER (WB) 1479</t>
  </si>
  <si>
    <t>Side Tiger(B) 1479</t>
  </si>
  <si>
    <t>Side Tiger (Y) 1479</t>
  </si>
  <si>
    <t>Tiger Scratch and Tiger Graphic back (W)  1439</t>
  </si>
  <si>
    <t>Tiger Scratch and Tiger Graphic back (B) 1439</t>
  </si>
  <si>
    <t>Tiger Scratch and Tiger Graphic back (Y) 1439</t>
  </si>
  <si>
    <t>Tote Bag</t>
  </si>
  <si>
    <t xml:space="preserve">BLACK @ 280 </t>
  </si>
  <si>
    <t>WHITE @260</t>
  </si>
  <si>
    <t>Double Canopy 639</t>
  </si>
  <si>
    <t>TOTAL</t>
  </si>
  <si>
    <t>DATE</t>
  </si>
  <si>
    <t>FOR REMITTANCE</t>
  </si>
  <si>
    <t>NAPOLIZ ENTERPRISES</t>
  </si>
  <si>
    <t>JYL ATHLETICA</t>
  </si>
  <si>
    <t>GT 350</t>
  </si>
  <si>
    <t>VB JERSEY W/O SIG. @1000</t>
  </si>
  <si>
    <t>VB JERSEY W SIG. @1800</t>
  </si>
  <si>
    <t>VB JERSEY W/O SIG. @2000</t>
  </si>
  <si>
    <t>VB JERSEY W SIG. @2800</t>
  </si>
  <si>
    <t>POLOSHIRT 123456 @860</t>
  </si>
  <si>
    <t xml:space="preserve">DATE </t>
  </si>
  <si>
    <t>Hoodies BREAKER</t>
  </si>
  <si>
    <t>jacket@1650</t>
  </si>
  <si>
    <t>JUC</t>
  </si>
  <si>
    <t>UST JUC Y/B</t>
  </si>
  <si>
    <t>TOTE BAG</t>
  </si>
  <si>
    <t>ADDITIONAL 50 NOT REMITTED MARCH APRIL</t>
  </si>
  <si>
    <t>USTORE</t>
  </si>
  <si>
    <t>JUNE</t>
  </si>
  <si>
    <t>Sling Bag 330</t>
  </si>
  <si>
    <t>Laptop Bag 1450</t>
  </si>
  <si>
    <t>Back pack 1750</t>
  </si>
  <si>
    <t>jacket</t>
  </si>
  <si>
    <t>TET EN DARS</t>
  </si>
  <si>
    <t>LANYARD @190</t>
  </si>
  <si>
    <t>LANYARD @180</t>
  </si>
  <si>
    <t>LANYARD @175</t>
  </si>
  <si>
    <t>ECO BAG @80</t>
  </si>
  <si>
    <t>ECO BAG @ 130</t>
  </si>
  <si>
    <t>STICKER @ 115</t>
  </si>
  <si>
    <t>STICKER @20</t>
  </si>
  <si>
    <t>PEN @ 50</t>
  </si>
  <si>
    <t>PEN @25</t>
  </si>
  <si>
    <t>NOTEBOOK @220</t>
  </si>
  <si>
    <t>MUG @170</t>
  </si>
  <si>
    <t>ARCH @320</t>
  </si>
  <si>
    <t xml:space="preserve">main </t>
  </si>
  <si>
    <t>tote 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</si>
</sst>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17">
    <font>
      <sz val="10.0"/>
      <color rgb="FF000000"/>
      <name val="Arial"/>
      <scheme val="minor"/>
    </font>
    <font>
      <color theme="1"/>
      <name val="Arial"/>
    </font>
    <font>
      <i/>
      <color theme="1"/>
      <name val="Arial"/>
    </font>
    <font>
      <b/>
      <sz val="14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4.0"/>
      <color rgb="FF000000"/>
      <name val="Calibri"/>
    </font>
    <font>
      <b/>
      <color theme="1"/>
      <name val="Arial"/>
    </font>
    <font>
      <b/>
      <sz val="18.0"/>
      <color theme="1"/>
      <name val="Arial"/>
    </font>
    <font>
      <b/>
      <sz val="16.0"/>
      <color theme="1"/>
      <name val="Arial"/>
    </font>
    <font>
      <b/>
      <sz val="14.0"/>
      <color theme="1"/>
      <name val="Calibri"/>
    </font>
    <font>
      <b/>
      <sz val="15.0"/>
      <color theme="1"/>
      <name val="Arial"/>
    </font>
    <font>
      <b/>
      <sz val="16.0"/>
      <color theme="1"/>
      <name val="Calibri"/>
    </font>
    <font>
      <sz val="12.0"/>
      <color theme="1"/>
      <name val="Arial"/>
    </font>
    <font>
      <b/>
      <sz val="17.0"/>
      <color theme="1"/>
      <name val="Arial"/>
    </font>
    <font>
      <b/>
      <sz val="17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2" numFmtId="2" xfId="0" applyBorder="1" applyFont="1" applyNumberFormat="1"/>
    <xf borderId="0" fillId="3" fontId="4" numFmtId="0" xfId="0" applyAlignment="1" applyFill="1" applyFont="1">
      <alignment shrinkToFit="0" vertical="bottom" wrapText="0"/>
    </xf>
    <xf borderId="1" fillId="0" fontId="1" numFmtId="4" xfId="0" applyAlignment="1" applyBorder="1" applyFont="1" applyNumberFormat="1">
      <alignment horizontal="center"/>
    </xf>
    <xf borderId="1" fillId="0" fontId="2" numFmtId="4" xfId="0" applyBorder="1" applyFont="1" applyNumberFormat="1"/>
    <xf borderId="1" fillId="0" fontId="1" numFmtId="0" xfId="0" applyAlignment="1" applyBorder="1" applyFon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1" fillId="0" fontId="1" numFmtId="2" xfId="0" applyBorder="1" applyFont="1" applyNumberFormat="1"/>
    <xf borderId="0" fillId="4" fontId="4" numFmtId="0" xfId="0" applyAlignment="1" applyFill="1" applyFont="1">
      <alignment shrinkToFit="0" vertical="bottom" wrapText="0"/>
    </xf>
    <xf borderId="1" fillId="0" fontId="1" numFmtId="4" xfId="0" applyBorder="1" applyFont="1" applyNumberFormat="1"/>
    <xf borderId="0" fillId="5" fontId="4" numFmtId="0" xfId="0" applyAlignment="1" applyFill="1" applyFont="1">
      <alignment shrinkToFit="0" vertical="bottom" wrapText="0"/>
    </xf>
    <xf borderId="0" fillId="0" fontId="5" numFmtId="4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shrinkToFit="0" vertical="bottom" wrapText="0"/>
    </xf>
    <xf borderId="0" fillId="6" fontId="6" numFmtId="0" xfId="0" applyAlignment="1" applyFill="1" applyFont="1">
      <alignment horizontal="left"/>
    </xf>
    <xf borderId="1" fillId="0" fontId="7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horizontal="center"/>
    </xf>
    <xf borderId="1" fillId="4" fontId="1" numFmtId="4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3" fillId="3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5" fillId="3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3" fontId="9" numFmtId="0" xfId="0" applyAlignment="1" applyBorder="1" applyFont="1">
      <alignment horizontal="center" vertical="bottom"/>
    </xf>
    <xf borderId="4" fillId="3" fontId="10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" numFmtId="4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0" fillId="3" fontId="10" numFmtId="4" xfId="0" applyAlignment="1" applyFont="1" applyNumberFormat="1">
      <alignment horizontal="right" vertical="bottom"/>
    </xf>
    <xf borderId="2" fillId="5" fontId="1" numFmtId="164" xfId="0" applyAlignment="1" applyBorder="1" applyFont="1" applyNumberFormat="1">
      <alignment horizontal="center" vertical="bottom"/>
    </xf>
    <xf borderId="3" fillId="3" fontId="12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5" fillId="3" fontId="1" numFmtId="4" xfId="0" applyAlignment="1" applyBorder="1" applyFont="1" applyNumberFormat="1">
      <alignment horizontal="center" vertical="bottom"/>
    </xf>
    <xf borderId="5" fillId="3" fontId="12" numFmtId="0" xfId="0" applyAlignment="1" applyBorder="1" applyFont="1">
      <alignment vertical="bottom"/>
    </xf>
    <xf borderId="3" fillId="0" fontId="13" numFmtId="0" xfId="0" applyAlignment="1" applyBorder="1" applyFont="1">
      <alignment vertical="bottom"/>
    </xf>
    <xf borderId="4" fillId="3" fontId="1" numFmtId="4" xfId="0" applyAlignment="1" applyBorder="1" applyFont="1" applyNumberFormat="1">
      <alignment horizontal="center" vertical="bottom"/>
    </xf>
    <xf borderId="4" fillId="3" fontId="12" numFmtId="0" xfId="0" applyAlignment="1" applyBorder="1" applyFont="1">
      <alignment vertical="bottom"/>
    </xf>
    <xf borderId="0" fillId="3" fontId="5" numFmtId="4" xfId="0" applyAlignment="1" applyFont="1" applyNumberFormat="1">
      <alignment horizontal="center"/>
    </xf>
    <xf borderId="4" fillId="0" fontId="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readingOrder="0" vertical="bottom"/>
    </xf>
    <xf borderId="1" fillId="0" fontId="1" numFmtId="4" xfId="0" applyAlignment="1" applyBorder="1" applyFont="1" applyNumberFormat="1">
      <alignment horizontal="center" readingOrder="0" vertical="bottom"/>
    </xf>
    <xf borderId="1" fillId="0" fontId="1" numFmtId="4" xfId="0" applyAlignment="1" applyBorder="1" applyFont="1" applyNumberFormat="1">
      <alignment horizontal="center" vertical="bottom"/>
    </xf>
    <xf borderId="4" fillId="0" fontId="1" numFmtId="4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readingOrder="0" vertical="bottom"/>
    </xf>
    <xf borderId="1" fillId="0" fontId="5" numFmtId="0" xfId="0" applyBorder="1" applyFont="1"/>
    <xf borderId="1" fillId="3" fontId="5" numFmtId="4" xfId="0" applyAlignment="1" applyBorder="1" applyFont="1" applyNumberFormat="1">
      <alignment readingOrder="0"/>
    </xf>
    <xf borderId="4" fillId="0" fontId="14" numFmtId="4" xfId="0" applyAlignment="1" applyBorder="1" applyFont="1" applyNumberFormat="1">
      <alignment readingOrder="0" vertical="bottom"/>
    </xf>
    <xf borderId="5" fillId="7" fontId="1" numFmtId="4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3" fillId="0" fontId="8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4" fillId="3" fontId="15" numFmtId="4" xfId="0" applyAlignment="1" applyBorder="1" applyFont="1" applyNumberFormat="1">
      <alignment horizontal="center" vertical="bottom"/>
    </xf>
    <xf borderId="1" fillId="7" fontId="1" numFmtId="4" xfId="0" applyAlignment="1" applyBorder="1" applyFont="1" applyNumberFormat="1">
      <alignment horizontal="center" vertical="bottom"/>
    </xf>
    <xf borderId="1" fillId="0" fontId="5" numFmtId="4" xfId="0" applyAlignment="1" applyBorder="1" applyFont="1" applyNumberFormat="1">
      <alignment horizontal="center"/>
    </xf>
    <xf borderId="1" fillId="3" fontId="16" numFmtId="4" xfId="0" applyAlignment="1" applyBorder="1" applyFont="1" applyNumberFormat="1">
      <alignment horizontal="center"/>
    </xf>
    <xf borderId="5" fillId="3" fontId="12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0" fillId="0" fontId="1" numFmtId="0" xfId="0" applyAlignment="1" applyFont="1">
      <alignment vertical="bottom"/>
    </xf>
    <xf borderId="1" fillId="3" fontId="15" numFmtId="4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vertical="bottom"/>
    </xf>
    <xf borderId="1" fillId="0" fontId="5" numFmtId="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>
      <c r="A2" s="6" t="s">
        <v>9</v>
      </c>
      <c r="B2" s="7"/>
      <c r="C2" s="7"/>
      <c r="D2" s="7"/>
      <c r="E2" s="7"/>
      <c r="F2" s="4" t="s">
        <v>10</v>
      </c>
      <c r="G2" s="8">
        <v>237.0</v>
      </c>
      <c r="H2" s="4">
        <f>G2*360</f>
        <v>85320</v>
      </c>
      <c r="I2" s="9">
        <v>360.0</v>
      </c>
    </row>
    <row r="3">
      <c r="A3" s="10" t="s">
        <v>11</v>
      </c>
      <c r="B3" s="7"/>
      <c r="C3" s="7"/>
      <c r="D3" s="11"/>
      <c r="E3" s="7"/>
      <c r="F3" s="4" t="s">
        <v>12</v>
      </c>
      <c r="G3" s="8">
        <v>41.0</v>
      </c>
      <c r="H3" s="4">
        <f>G3*1125</f>
        <v>46125</v>
      </c>
      <c r="I3" s="12">
        <v>1125.0</v>
      </c>
    </row>
    <row r="4">
      <c r="A4" s="4" t="s">
        <v>13</v>
      </c>
      <c r="B4" s="7"/>
      <c r="C4" s="13">
        <v>60.0</v>
      </c>
      <c r="D4" s="14">
        <f>C4*429</f>
        <v>25740</v>
      </c>
      <c r="E4" s="7">
        <f>B4-C4</f>
        <v>-60</v>
      </c>
      <c r="F4" s="4" t="s">
        <v>14</v>
      </c>
      <c r="G4" s="8">
        <v>25.0</v>
      </c>
      <c r="H4" s="4">
        <f>G4*230</f>
        <v>5750</v>
      </c>
      <c r="I4" s="9">
        <v>230.0</v>
      </c>
    </row>
    <row r="5">
      <c r="A5" s="10" t="s">
        <v>15</v>
      </c>
      <c r="B5" s="7"/>
      <c r="C5" s="7"/>
      <c r="D5" s="14"/>
      <c r="E5" s="7"/>
      <c r="F5" s="4" t="s">
        <v>16</v>
      </c>
      <c r="G5" s="8">
        <v>25.0</v>
      </c>
      <c r="H5" s="4">
        <f>G5*200</f>
        <v>5000</v>
      </c>
      <c r="I5" s="9">
        <v>200.0</v>
      </c>
    </row>
    <row r="6">
      <c r="A6" s="4" t="s">
        <v>13</v>
      </c>
      <c r="B6" s="7"/>
      <c r="C6" s="13">
        <v>33.0</v>
      </c>
      <c r="D6" s="14">
        <f>C6*429</f>
        <v>14157</v>
      </c>
      <c r="E6" s="7">
        <f>B6-C6</f>
        <v>-33</v>
      </c>
      <c r="F6" s="4" t="s">
        <v>17</v>
      </c>
      <c r="G6" s="8">
        <v>5.0</v>
      </c>
      <c r="H6" s="4">
        <f>G6*495</f>
        <v>2475</v>
      </c>
      <c r="I6" s="9">
        <v>495.0</v>
      </c>
    </row>
    <row r="7">
      <c r="A7" s="10" t="s">
        <v>18</v>
      </c>
      <c r="B7" s="7"/>
      <c r="C7" s="7"/>
      <c r="D7" s="11"/>
      <c r="E7" s="7"/>
    </row>
    <row r="8">
      <c r="A8" s="4" t="s">
        <v>13</v>
      </c>
      <c r="B8" s="7"/>
      <c r="C8" s="13">
        <v>15.0</v>
      </c>
      <c r="D8" s="14">
        <f>C8*429</f>
        <v>6435</v>
      </c>
      <c r="E8" s="7">
        <f>B8-C8</f>
        <v>-15</v>
      </c>
      <c r="F8" s="4" t="s">
        <v>19</v>
      </c>
      <c r="G8" s="4">
        <f t="shared" ref="G8:H8" si="1">SUM(G2:G6)</f>
        <v>333</v>
      </c>
      <c r="H8" s="15">
        <f t="shared" si="1"/>
        <v>144670</v>
      </c>
    </row>
    <row r="9">
      <c r="A9" s="16" t="s">
        <v>20</v>
      </c>
      <c r="B9" s="7"/>
      <c r="C9" s="7"/>
      <c r="D9" s="11"/>
      <c r="E9" s="7"/>
    </row>
    <row r="10">
      <c r="A10" s="4" t="s">
        <v>13</v>
      </c>
      <c r="B10" s="7"/>
      <c r="C10" s="13">
        <v>11.0</v>
      </c>
      <c r="D10" s="14">
        <f>C10*439</f>
        <v>4829</v>
      </c>
      <c r="E10" s="7">
        <f>B10-C10</f>
        <v>-11</v>
      </c>
      <c r="F10" s="4" t="s">
        <v>21</v>
      </c>
      <c r="G10" s="17">
        <f>D41-H8</f>
        <v>32367</v>
      </c>
    </row>
    <row r="11">
      <c r="A11" s="16" t="s">
        <v>22</v>
      </c>
      <c r="B11" s="7"/>
      <c r="C11" s="7"/>
      <c r="D11" s="11"/>
      <c r="E11" s="7"/>
    </row>
    <row r="12">
      <c r="A12" s="4" t="s">
        <v>13</v>
      </c>
      <c r="B12" s="7"/>
      <c r="C12" s="13">
        <v>40.0</v>
      </c>
      <c r="D12" s="14">
        <f>C12*439</f>
        <v>17560</v>
      </c>
      <c r="E12" s="7">
        <f>B12-C12</f>
        <v>-40</v>
      </c>
    </row>
    <row r="13">
      <c r="A13" s="16" t="s">
        <v>23</v>
      </c>
      <c r="B13" s="7"/>
      <c r="C13" s="7"/>
      <c r="D13" s="11"/>
      <c r="E13" s="7"/>
    </row>
    <row r="14">
      <c r="A14" s="4" t="s">
        <v>13</v>
      </c>
      <c r="B14" s="7"/>
      <c r="C14" s="13">
        <v>8.0</v>
      </c>
      <c r="D14" s="14">
        <f>C14*439</f>
        <v>3512</v>
      </c>
      <c r="E14" s="7">
        <f>B14-C14</f>
        <v>-8</v>
      </c>
    </row>
    <row r="15">
      <c r="A15" s="18" t="s">
        <v>24</v>
      </c>
      <c r="B15" s="7"/>
      <c r="C15" s="7"/>
      <c r="D15" s="11"/>
      <c r="E15" s="7"/>
      <c r="G15" s="19">
        <f>SUM(D4,D6,D8,D10,D12,D14,D16,D18,D20)</f>
        <v>103663</v>
      </c>
    </row>
    <row r="16">
      <c r="A16" s="4" t="s">
        <v>13</v>
      </c>
      <c r="B16" s="7"/>
      <c r="C16" s="13">
        <v>14.0</v>
      </c>
      <c r="D16" s="14">
        <f>C16*449</f>
        <v>6286</v>
      </c>
      <c r="E16" s="7">
        <f t="shared" ref="E16:E31" si="2">B16-C16</f>
        <v>-14</v>
      </c>
      <c r="G16" s="19">
        <f>SUM(D23,D25,D27,D29,D31,D33,D35)</f>
        <v>57629</v>
      </c>
    </row>
    <row r="17">
      <c r="A17" s="18" t="s">
        <v>25</v>
      </c>
      <c r="B17" s="7"/>
      <c r="C17" s="7"/>
      <c r="D17" s="11"/>
      <c r="E17" s="7">
        <f t="shared" si="2"/>
        <v>0</v>
      </c>
      <c r="G17" s="20">
        <f>SUM(D37,D38)</f>
        <v>12750</v>
      </c>
    </row>
    <row r="18">
      <c r="A18" s="4" t="s">
        <v>13</v>
      </c>
      <c r="B18" s="7"/>
      <c r="C18" s="13">
        <v>32.0</v>
      </c>
      <c r="D18" s="14">
        <f>C18*449</f>
        <v>14368</v>
      </c>
      <c r="E18" s="7">
        <f t="shared" si="2"/>
        <v>-32</v>
      </c>
      <c r="G18" s="21">
        <v>5.0</v>
      </c>
    </row>
    <row r="19">
      <c r="A19" s="18" t="s">
        <v>26</v>
      </c>
      <c r="B19" s="7"/>
      <c r="C19" s="7"/>
      <c r="D19" s="11"/>
      <c r="E19" s="7">
        <f t="shared" si="2"/>
        <v>0</v>
      </c>
    </row>
    <row r="20">
      <c r="A20" s="4" t="s">
        <v>13</v>
      </c>
      <c r="B20" s="7"/>
      <c r="C20" s="13">
        <v>24.0</v>
      </c>
      <c r="D20" s="14">
        <f>C20*449</f>
        <v>10776</v>
      </c>
      <c r="E20" s="7">
        <f t="shared" si="2"/>
        <v>-24</v>
      </c>
    </row>
    <row r="21">
      <c r="A21" s="22" t="s">
        <v>27</v>
      </c>
      <c r="B21" s="7"/>
      <c r="C21" s="7"/>
      <c r="D21" s="23"/>
      <c r="E21" s="7">
        <f t="shared" si="2"/>
        <v>0</v>
      </c>
    </row>
    <row r="22">
      <c r="A22" s="24" t="s">
        <v>28</v>
      </c>
      <c r="B22" s="7"/>
      <c r="C22" s="7"/>
      <c r="D22" s="11"/>
      <c r="E22" s="7">
        <f t="shared" si="2"/>
        <v>0</v>
      </c>
    </row>
    <row r="23">
      <c r="A23" s="4" t="s">
        <v>13</v>
      </c>
      <c r="B23" s="7"/>
      <c r="C23" s="13">
        <v>6.0</v>
      </c>
      <c r="D23" s="14">
        <f>C23*1429</f>
        <v>8574</v>
      </c>
      <c r="E23" s="7">
        <f t="shared" si="2"/>
        <v>-6</v>
      </c>
    </row>
    <row r="24">
      <c r="A24" s="25" t="s">
        <v>29</v>
      </c>
      <c r="B24" s="7"/>
      <c r="C24" s="7"/>
      <c r="D24" s="11"/>
      <c r="E24" s="7">
        <f t="shared" si="2"/>
        <v>0</v>
      </c>
    </row>
    <row r="25">
      <c r="A25" s="4" t="s">
        <v>13</v>
      </c>
      <c r="B25" s="7"/>
      <c r="C25" s="13">
        <v>3.0</v>
      </c>
      <c r="D25" s="14">
        <f>C25*1429</f>
        <v>4287</v>
      </c>
      <c r="E25" s="7">
        <f t="shared" si="2"/>
        <v>-3</v>
      </c>
    </row>
    <row r="26">
      <c r="A26" s="24" t="s">
        <v>30</v>
      </c>
      <c r="B26" s="7"/>
      <c r="C26" s="7"/>
      <c r="D26" s="11"/>
      <c r="E26" s="7">
        <f t="shared" si="2"/>
        <v>0</v>
      </c>
    </row>
    <row r="27">
      <c r="A27" s="4" t="s">
        <v>13</v>
      </c>
      <c r="B27" s="7"/>
      <c r="C27" s="13">
        <v>2.0</v>
      </c>
      <c r="D27" s="14">
        <f>C27*1429</f>
        <v>2858</v>
      </c>
      <c r="E27" s="7">
        <f t="shared" si="2"/>
        <v>-2</v>
      </c>
    </row>
    <row r="28">
      <c r="A28" s="24" t="s">
        <v>31</v>
      </c>
      <c r="B28" s="7"/>
      <c r="C28" s="7"/>
      <c r="D28" s="11"/>
      <c r="E28" s="7">
        <f t="shared" si="2"/>
        <v>0</v>
      </c>
    </row>
    <row r="29">
      <c r="A29" s="4" t="s">
        <v>13</v>
      </c>
      <c r="B29" s="7"/>
      <c r="C29" s="13">
        <v>6.0</v>
      </c>
      <c r="D29" s="14">
        <f>C29*1429</f>
        <v>8574</v>
      </c>
      <c r="E29" s="7">
        <f t="shared" si="2"/>
        <v>-6</v>
      </c>
    </row>
    <row r="30">
      <c r="A30" s="24" t="s">
        <v>32</v>
      </c>
      <c r="B30" s="7"/>
      <c r="C30" s="7"/>
      <c r="D30" s="11"/>
      <c r="E30" s="7">
        <f t="shared" si="2"/>
        <v>0</v>
      </c>
    </row>
    <row r="31">
      <c r="A31" s="4" t="s">
        <v>13</v>
      </c>
      <c r="B31" s="7"/>
      <c r="C31" s="13">
        <v>13.0</v>
      </c>
      <c r="D31" s="14">
        <f>C31*1389</f>
        <v>18057</v>
      </c>
      <c r="E31" s="7">
        <f t="shared" si="2"/>
        <v>-13</v>
      </c>
    </row>
    <row r="32">
      <c r="A32" s="24" t="s">
        <v>33</v>
      </c>
      <c r="B32" s="7"/>
      <c r="C32" s="7"/>
      <c r="D32" s="11"/>
      <c r="E32" s="7"/>
    </row>
    <row r="33">
      <c r="A33" s="4" t="s">
        <v>13</v>
      </c>
      <c r="B33" s="7"/>
      <c r="C33" s="13">
        <v>5.0</v>
      </c>
      <c r="D33" s="14">
        <f>C33*1389</f>
        <v>6945</v>
      </c>
      <c r="E33" s="7">
        <f>B33-C33</f>
        <v>-5</v>
      </c>
    </row>
    <row r="34">
      <c r="A34" s="24" t="s">
        <v>34</v>
      </c>
      <c r="B34" s="7"/>
      <c r="C34" s="7"/>
      <c r="D34" s="11"/>
      <c r="E34" s="7"/>
    </row>
    <row r="35">
      <c r="A35" s="4" t="s">
        <v>13</v>
      </c>
      <c r="B35" s="7"/>
      <c r="C35" s="13">
        <v>6.0</v>
      </c>
      <c r="D35" s="14">
        <f>C35*1389</f>
        <v>8334</v>
      </c>
      <c r="E35" s="7">
        <f>B35-C35</f>
        <v>-6</v>
      </c>
    </row>
    <row r="36">
      <c r="A36" s="26" t="s">
        <v>35</v>
      </c>
      <c r="B36" s="7"/>
      <c r="C36" s="7"/>
      <c r="D36" s="7"/>
      <c r="E36" s="7"/>
    </row>
    <row r="37">
      <c r="A37" s="4" t="s">
        <v>36</v>
      </c>
      <c r="B37" s="7"/>
      <c r="C37" s="13">
        <v>25.0</v>
      </c>
      <c r="D37" s="13">
        <f>C37*270</f>
        <v>6750</v>
      </c>
      <c r="E37" s="7">
        <f t="shared" ref="E37:E38" si="3">B37-C37</f>
        <v>-25</v>
      </c>
    </row>
    <row r="38">
      <c r="A38" s="4" t="s">
        <v>37</v>
      </c>
      <c r="B38" s="7"/>
      <c r="C38" s="13">
        <v>25.0</v>
      </c>
      <c r="D38" s="13">
        <f>C38*240</f>
        <v>6000</v>
      </c>
      <c r="E38" s="7">
        <f t="shared" si="3"/>
        <v>-25</v>
      </c>
    </row>
    <row r="39">
      <c r="A39" s="27" t="s">
        <v>17</v>
      </c>
      <c r="B39" s="7"/>
      <c r="C39" s="7"/>
      <c r="D39" s="13">
        <v>0.0</v>
      </c>
      <c r="E39" s="7"/>
    </row>
    <row r="40">
      <c r="A40" s="27" t="s">
        <v>38</v>
      </c>
      <c r="B40" s="7"/>
      <c r="C40" s="13">
        <v>5.0</v>
      </c>
      <c r="D40" s="13">
        <f>C40*599</f>
        <v>2995</v>
      </c>
      <c r="E40" s="7">
        <f>B40-C40</f>
        <v>-5</v>
      </c>
    </row>
    <row r="41">
      <c r="B41" s="23"/>
      <c r="C41" s="28" t="s">
        <v>39</v>
      </c>
      <c r="D41" s="29">
        <f>SUM(D4:D40)</f>
        <v>177037</v>
      </c>
      <c r="E41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6" max="6" width="18.25"/>
  </cols>
  <sheetData>
    <row r="1">
      <c r="A1" s="30" t="s">
        <v>40</v>
      </c>
      <c r="B1" s="31" t="s">
        <v>6</v>
      </c>
      <c r="C1" s="31" t="s">
        <v>8</v>
      </c>
      <c r="D1" s="31" t="s">
        <v>41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>
      <c r="A2" s="33" t="s">
        <v>42</v>
      </c>
      <c r="B2" s="34"/>
      <c r="C2" s="34"/>
      <c r="D2" s="34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5" t="s">
        <v>10</v>
      </c>
      <c r="B3" s="36">
        <v>245.0</v>
      </c>
      <c r="C3" s="36">
        <v>360.0</v>
      </c>
      <c r="D3" s="36">
        <v>88200.0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5" t="s">
        <v>12</v>
      </c>
      <c r="B4" s="36">
        <v>53.0</v>
      </c>
      <c r="C4" s="36">
        <v>1125.0</v>
      </c>
      <c r="D4" s="36">
        <v>59625.0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5" t="s">
        <v>14</v>
      </c>
      <c r="B5" s="36">
        <v>17.0</v>
      </c>
      <c r="C5" s="36">
        <v>230.0</v>
      </c>
      <c r="D5" s="36">
        <v>3910.0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5" t="s">
        <v>16</v>
      </c>
      <c r="B6" s="36">
        <v>33.0</v>
      </c>
      <c r="C6" s="36">
        <v>200.0</v>
      </c>
      <c r="D6" s="36">
        <v>6600.0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5" t="s">
        <v>17</v>
      </c>
      <c r="B7" s="36">
        <v>3.0</v>
      </c>
      <c r="C7" s="36">
        <v>495.0</v>
      </c>
      <c r="D7" s="36">
        <v>1485.0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7" t="s">
        <v>43</v>
      </c>
      <c r="B8" s="38"/>
      <c r="C8" s="39" t="s">
        <v>39</v>
      </c>
      <c r="D8" s="40">
        <f>SUM(D3:D7)</f>
        <v>159820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41" t="s">
        <v>44</v>
      </c>
      <c r="B9" s="42">
        <v>15.0</v>
      </c>
      <c r="C9" s="36">
        <v>200.0</v>
      </c>
      <c r="D9" s="36">
        <v>3000.0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41" t="s">
        <v>45</v>
      </c>
      <c r="B10" s="42">
        <v>17.0</v>
      </c>
      <c r="C10" s="36">
        <v>800.0</v>
      </c>
      <c r="D10" s="36">
        <v>13600.0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41" t="s">
        <v>46</v>
      </c>
      <c r="B11" s="42">
        <v>2.0</v>
      </c>
      <c r="C11" s="36">
        <v>800.0</v>
      </c>
      <c r="D11" s="36">
        <v>1600.0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1" t="s">
        <v>47</v>
      </c>
      <c r="B12" s="42">
        <v>0.0</v>
      </c>
      <c r="C12" s="36">
        <v>800.0</v>
      </c>
      <c r="D12" s="36">
        <v>0.0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41" t="s">
        <v>48</v>
      </c>
      <c r="B13" s="42">
        <v>0.0</v>
      </c>
      <c r="C13" s="36">
        <v>800.0</v>
      </c>
      <c r="D13" s="36">
        <v>0.0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41" t="s">
        <v>49</v>
      </c>
      <c r="B14" s="42">
        <v>20.0</v>
      </c>
      <c r="C14" s="36">
        <v>600.0</v>
      </c>
      <c r="D14" s="36">
        <v>12000.0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B15" s="43"/>
      <c r="C15" s="39" t="s">
        <v>39</v>
      </c>
      <c r="D15" s="44">
        <f>SUM(D9:D14)</f>
        <v>30200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3" max="3" width="13.88"/>
    <col customWidth="1" min="6" max="6" width="18.25"/>
  </cols>
  <sheetData>
    <row r="1">
      <c r="A1" s="30" t="s">
        <v>50</v>
      </c>
      <c r="B1" s="45" t="s">
        <v>6</v>
      </c>
      <c r="C1" s="45" t="s">
        <v>8</v>
      </c>
      <c r="D1" s="45" t="s">
        <v>41</v>
      </c>
      <c r="R1" s="32"/>
      <c r="S1" s="32"/>
      <c r="T1" s="32"/>
      <c r="U1" s="32"/>
      <c r="V1" s="32"/>
      <c r="W1" s="32"/>
      <c r="X1" s="32"/>
      <c r="Y1" s="32"/>
      <c r="Z1" s="32"/>
      <c r="AA1" s="32"/>
    </row>
    <row r="2">
      <c r="A2" s="46" t="s">
        <v>42</v>
      </c>
      <c r="B2" s="34"/>
      <c r="C2" s="34"/>
      <c r="D2" s="34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>
      <c r="A3" s="35" t="s">
        <v>10</v>
      </c>
      <c r="B3" s="48">
        <v>524.0</v>
      </c>
      <c r="C3" s="49">
        <v>360.0</v>
      </c>
      <c r="D3" s="49">
        <v>188640.0</v>
      </c>
      <c r="R3" s="32"/>
      <c r="S3" s="32"/>
      <c r="T3" s="32"/>
      <c r="U3" s="32"/>
      <c r="V3" s="32"/>
      <c r="W3" s="32"/>
      <c r="X3" s="32"/>
      <c r="Y3" s="32"/>
      <c r="Z3" s="32"/>
      <c r="AA3" s="32"/>
    </row>
    <row r="4">
      <c r="A4" s="35" t="s">
        <v>51</v>
      </c>
      <c r="B4" s="48">
        <v>56.0</v>
      </c>
      <c r="C4" s="49">
        <v>1125.0</v>
      </c>
      <c r="D4" s="49">
        <v>63000.0</v>
      </c>
      <c r="R4" s="32"/>
      <c r="S4" s="32"/>
      <c r="T4" s="32"/>
      <c r="U4" s="32"/>
      <c r="V4" s="32"/>
      <c r="W4" s="32"/>
      <c r="X4" s="32"/>
      <c r="Y4" s="32"/>
      <c r="Z4" s="32"/>
      <c r="AA4" s="32"/>
    </row>
    <row r="5">
      <c r="A5" s="35" t="s">
        <v>14</v>
      </c>
      <c r="B5" s="48">
        <v>10.0</v>
      </c>
      <c r="C5" s="49">
        <v>230.0</v>
      </c>
      <c r="D5" s="49">
        <v>2300.0</v>
      </c>
      <c r="R5" s="32"/>
      <c r="S5" s="32"/>
      <c r="T5" s="32"/>
      <c r="U5" s="32"/>
      <c r="V5" s="32"/>
      <c r="W5" s="32"/>
      <c r="X5" s="32"/>
      <c r="Y5" s="32"/>
      <c r="Z5" s="32"/>
      <c r="AA5" s="32"/>
    </row>
    <row r="6">
      <c r="A6" s="35" t="s">
        <v>16</v>
      </c>
      <c r="B6" s="48">
        <v>18.0</v>
      </c>
      <c r="C6" s="49">
        <v>200.0</v>
      </c>
      <c r="D6" s="49">
        <v>3600.0</v>
      </c>
      <c r="R6" s="32"/>
      <c r="S6" s="32"/>
      <c r="T6" s="32"/>
      <c r="U6" s="32"/>
      <c r="V6" s="32"/>
      <c r="W6" s="32"/>
      <c r="X6" s="32"/>
      <c r="Y6" s="32"/>
      <c r="Z6" s="32"/>
      <c r="AA6" s="32"/>
    </row>
    <row r="7">
      <c r="A7" s="35" t="s">
        <v>17</v>
      </c>
      <c r="B7" s="48">
        <v>2.0</v>
      </c>
      <c r="C7" s="49">
        <v>495.0</v>
      </c>
      <c r="D7" s="49">
        <v>990.0</v>
      </c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B8" s="50"/>
      <c r="C8" s="51" t="s">
        <v>39</v>
      </c>
      <c r="D8" s="51">
        <v>258530.0</v>
      </c>
      <c r="R8" s="32"/>
      <c r="S8" s="32"/>
      <c r="T8" s="32"/>
      <c r="U8" s="32"/>
      <c r="V8" s="32"/>
      <c r="W8" s="32"/>
      <c r="X8" s="32"/>
      <c r="Y8" s="32"/>
      <c r="Z8" s="32"/>
      <c r="AA8" s="32"/>
    </row>
    <row r="9">
      <c r="A9" s="52" t="s">
        <v>43</v>
      </c>
      <c r="R9" s="32"/>
      <c r="S9" s="32"/>
      <c r="T9" s="32"/>
      <c r="U9" s="32"/>
      <c r="V9" s="32"/>
      <c r="W9" s="32"/>
      <c r="X9" s="32"/>
      <c r="Y9" s="32"/>
      <c r="Z9" s="32"/>
      <c r="AA9" s="32"/>
    </row>
    <row r="10">
      <c r="A10" s="41" t="s">
        <v>44</v>
      </c>
      <c r="B10" s="49">
        <v>32.0</v>
      </c>
      <c r="C10" s="49">
        <v>200.0</v>
      </c>
      <c r="D10" s="49">
        <v>6400.0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>
      <c r="A11" s="41" t="s">
        <v>45</v>
      </c>
      <c r="B11" s="49">
        <v>35.0</v>
      </c>
      <c r="C11" s="49">
        <v>800.0</v>
      </c>
      <c r="D11" s="49">
        <v>28000.0</v>
      </c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41" t="s">
        <v>46</v>
      </c>
      <c r="B12" s="49">
        <v>0.0</v>
      </c>
      <c r="C12" s="49">
        <v>800.0</v>
      </c>
      <c r="D12" s="49">
        <v>0.0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A13" s="41" t="s">
        <v>47</v>
      </c>
      <c r="B13" s="49">
        <v>10.0</v>
      </c>
      <c r="C13" s="49">
        <v>800.0</v>
      </c>
      <c r="D13" s="49">
        <v>8000.0</v>
      </c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A14" s="41" t="s">
        <v>48</v>
      </c>
      <c r="B14" s="49">
        <v>2.0</v>
      </c>
      <c r="C14" s="49">
        <v>800.0</v>
      </c>
      <c r="D14" s="49">
        <v>1600.0</v>
      </c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>
      <c r="A15" s="53" t="s">
        <v>52</v>
      </c>
      <c r="B15" s="49">
        <v>15.0</v>
      </c>
      <c r="C15" s="49">
        <v>1200.0</v>
      </c>
      <c r="D15" s="49">
        <v>18000.0</v>
      </c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A16" s="41" t="s">
        <v>49</v>
      </c>
      <c r="B16" s="49">
        <v>21.0</v>
      </c>
      <c r="C16" s="49">
        <v>600.0</v>
      </c>
      <c r="D16" s="49">
        <v>12600.0</v>
      </c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>
      <c r="B17" s="48"/>
      <c r="C17" s="54" t="s">
        <v>39</v>
      </c>
      <c r="D17" s="54">
        <v>74600.0</v>
      </c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>
      <c r="A18" s="55" t="s">
        <v>53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>
      <c r="A19" s="35" t="s">
        <v>54</v>
      </c>
      <c r="B19" s="48">
        <v>53.0</v>
      </c>
      <c r="C19" s="49">
        <v>280.0</v>
      </c>
      <c r="D19" s="49">
        <v>14840.0</v>
      </c>
    </row>
    <row r="20">
      <c r="A20" s="35" t="s">
        <v>55</v>
      </c>
      <c r="B20" s="38">
        <v>56.0</v>
      </c>
      <c r="C20" s="49">
        <v>120.0</v>
      </c>
      <c r="D20" s="49">
        <v>6720.0</v>
      </c>
    </row>
    <row r="21">
      <c r="C21" s="54" t="s">
        <v>39</v>
      </c>
      <c r="D21" s="56">
        <f>SUM(D19:D20)</f>
        <v>21560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3" max="3" width="13.88"/>
    <col customWidth="1" min="6" max="6" width="18.25"/>
  </cols>
  <sheetData>
    <row r="1">
      <c r="A1" s="30" t="s">
        <v>50</v>
      </c>
      <c r="B1" s="45" t="s">
        <v>6</v>
      </c>
      <c r="C1" s="45" t="s">
        <v>8</v>
      </c>
      <c r="D1" s="45" t="s">
        <v>41</v>
      </c>
      <c r="R1" s="32"/>
      <c r="S1" s="32"/>
      <c r="T1" s="32"/>
      <c r="U1" s="32"/>
      <c r="V1" s="32"/>
      <c r="W1" s="32"/>
      <c r="X1" s="32"/>
      <c r="Y1" s="32"/>
      <c r="Z1" s="32"/>
      <c r="AA1" s="32"/>
    </row>
    <row r="2">
      <c r="A2" s="46" t="s">
        <v>42</v>
      </c>
      <c r="B2" s="34"/>
      <c r="C2" s="34"/>
      <c r="D2" s="34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>
      <c r="A3" s="35" t="s">
        <v>10</v>
      </c>
      <c r="B3" s="57">
        <v>320.0</v>
      </c>
      <c r="C3" s="49">
        <v>360.0</v>
      </c>
      <c r="D3" s="49">
        <f t="shared" ref="D3:D7" si="1">C3*B3</f>
        <v>115200</v>
      </c>
      <c r="R3" s="32"/>
      <c r="S3" s="32"/>
      <c r="T3" s="32"/>
      <c r="U3" s="32"/>
      <c r="V3" s="32"/>
      <c r="W3" s="32"/>
      <c r="X3" s="32"/>
      <c r="Y3" s="32"/>
      <c r="Z3" s="32"/>
      <c r="AA3" s="32"/>
    </row>
    <row r="4">
      <c r="A4" s="35" t="s">
        <v>51</v>
      </c>
      <c r="B4" s="57">
        <v>146.0</v>
      </c>
      <c r="C4" s="49">
        <v>1125.0</v>
      </c>
      <c r="D4" s="49">
        <f t="shared" si="1"/>
        <v>164250</v>
      </c>
      <c r="R4" s="32"/>
      <c r="S4" s="32"/>
      <c r="T4" s="32"/>
      <c r="U4" s="32"/>
      <c r="V4" s="32"/>
      <c r="W4" s="32"/>
      <c r="X4" s="32"/>
      <c r="Y4" s="32"/>
      <c r="Z4" s="32"/>
      <c r="AA4" s="32"/>
    </row>
    <row r="5">
      <c r="A5" s="35" t="s">
        <v>14</v>
      </c>
      <c r="B5" s="57">
        <v>35.0</v>
      </c>
      <c r="C5" s="49">
        <v>230.0</v>
      </c>
      <c r="D5" s="49">
        <f t="shared" si="1"/>
        <v>8050</v>
      </c>
      <c r="R5" s="32"/>
      <c r="S5" s="32"/>
      <c r="T5" s="32"/>
      <c r="U5" s="32"/>
      <c r="V5" s="32"/>
      <c r="W5" s="32"/>
      <c r="X5" s="32"/>
      <c r="Y5" s="32"/>
      <c r="Z5" s="32"/>
      <c r="AA5" s="32"/>
    </row>
    <row r="6">
      <c r="A6" s="35" t="s">
        <v>16</v>
      </c>
      <c r="B6" s="57">
        <v>42.0</v>
      </c>
      <c r="C6" s="49">
        <v>200.0</v>
      </c>
      <c r="D6" s="49">
        <f t="shared" si="1"/>
        <v>8400</v>
      </c>
      <c r="R6" s="32"/>
      <c r="S6" s="32"/>
      <c r="T6" s="32"/>
      <c r="U6" s="32"/>
      <c r="V6" s="32"/>
      <c r="W6" s="32"/>
      <c r="X6" s="32"/>
      <c r="Y6" s="32"/>
      <c r="Z6" s="32"/>
      <c r="AA6" s="32"/>
    </row>
    <row r="7">
      <c r="A7" s="35" t="s">
        <v>17</v>
      </c>
      <c r="B7" s="57">
        <v>13.0</v>
      </c>
      <c r="C7" s="49">
        <v>495.0</v>
      </c>
      <c r="D7" s="49">
        <f t="shared" si="1"/>
        <v>6435</v>
      </c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B8" s="57"/>
      <c r="C8" s="51" t="s">
        <v>39</v>
      </c>
      <c r="D8" s="51">
        <f>SUM(D3:D7)</f>
        <v>302335</v>
      </c>
      <c r="R8" s="32"/>
      <c r="S8" s="32"/>
      <c r="T8" s="32"/>
      <c r="U8" s="32"/>
      <c r="V8" s="32"/>
      <c r="W8" s="32"/>
      <c r="X8" s="32"/>
      <c r="Y8" s="32"/>
      <c r="Z8" s="32"/>
      <c r="AA8" s="32"/>
    </row>
    <row r="9">
      <c r="A9" s="52" t="s">
        <v>43</v>
      </c>
      <c r="R9" s="32"/>
      <c r="S9" s="32"/>
      <c r="T9" s="32"/>
      <c r="U9" s="32"/>
      <c r="V9" s="32"/>
      <c r="W9" s="32"/>
      <c r="X9" s="32"/>
      <c r="Y9" s="32"/>
      <c r="Z9" s="32"/>
      <c r="AA9" s="32"/>
    </row>
    <row r="10">
      <c r="A10" s="58" t="s">
        <v>56</v>
      </c>
      <c r="B10" s="59">
        <v>37.0</v>
      </c>
      <c r="C10" s="59">
        <v>50.0</v>
      </c>
      <c r="D10" s="60">
        <f t="shared" ref="D10:D14" si="2">C10*B10</f>
        <v>1850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>
      <c r="A11" s="41" t="s">
        <v>44</v>
      </c>
      <c r="B11" s="61">
        <v>21.0</v>
      </c>
      <c r="C11" s="49">
        <v>200.0</v>
      </c>
      <c r="D11" s="49">
        <f t="shared" si="2"/>
        <v>4200</v>
      </c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41" t="s">
        <v>45</v>
      </c>
      <c r="B12" s="61">
        <v>55.0</v>
      </c>
      <c r="C12" s="49">
        <v>800.0</v>
      </c>
      <c r="D12" s="49">
        <f t="shared" si="2"/>
        <v>44000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A13" s="53" t="s">
        <v>52</v>
      </c>
      <c r="B13" s="61">
        <v>12.0</v>
      </c>
      <c r="C13" s="49">
        <v>1200.0</v>
      </c>
      <c r="D13" s="49">
        <f t="shared" si="2"/>
        <v>14400</v>
      </c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A14" s="41" t="s">
        <v>49</v>
      </c>
      <c r="B14" s="61">
        <v>35.0</v>
      </c>
      <c r="C14" s="49">
        <v>600.0</v>
      </c>
      <c r="D14" s="49">
        <f t="shared" si="2"/>
        <v>21000</v>
      </c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>
      <c r="B15" s="48"/>
      <c r="C15" s="54" t="s">
        <v>39</v>
      </c>
      <c r="D15" s="54">
        <f>SUM(D10:D14)</f>
        <v>85450</v>
      </c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A16" s="55" t="s">
        <v>53</v>
      </c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>
      <c r="A17" s="62" t="s">
        <v>54</v>
      </c>
      <c r="B17" s="63">
        <v>163.0</v>
      </c>
      <c r="C17" s="60">
        <v>280.0</v>
      </c>
      <c r="D17" s="60">
        <f t="shared" ref="D17:D18" si="3">C17*B17</f>
        <v>45640</v>
      </c>
    </row>
    <row r="18">
      <c r="A18" s="35" t="s">
        <v>55</v>
      </c>
      <c r="B18" s="57">
        <v>31.0</v>
      </c>
      <c r="C18" s="49">
        <v>120.0</v>
      </c>
      <c r="D18" s="49">
        <f t="shared" si="3"/>
        <v>3720</v>
      </c>
    </row>
    <row r="19">
      <c r="C19" s="54" t="s">
        <v>39</v>
      </c>
      <c r="D19" s="56">
        <f>SUM(D17:D18)</f>
        <v>49360</v>
      </c>
    </row>
    <row r="21">
      <c r="A21" s="64" t="s">
        <v>57</v>
      </c>
      <c r="B21" s="65"/>
      <c r="C21" s="54" t="s">
        <v>39</v>
      </c>
      <c r="D21" s="66">
        <v>303080.0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3" max="3" width="13.88"/>
    <col customWidth="1" min="4" max="4" width="25.0"/>
    <col customWidth="1" min="6" max="6" width="18.25"/>
  </cols>
  <sheetData>
    <row r="1">
      <c r="A1" s="30" t="s">
        <v>58</v>
      </c>
      <c r="B1" s="45" t="s">
        <v>6</v>
      </c>
      <c r="C1" s="45" t="s">
        <v>8</v>
      </c>
      <c r="D1" s="45" t="s">
        <v>41</v>
      </c>
    </row>
    <row r="2">
      <c r="A2" s="46" t="s">
        <v>42</v>
      </c>
      <c r="B2" s="34"/>
      <c r="C2" s="34"/>
      <c r="D2" s="34"/>
    </row>
    <row r="3">
      <c r="A3" s="35" t="s">
        <v>10</v>
      </c>
      <c r="B3" s="48">
        <v>295.0</v>
      </c>
      <c r="C3" s="49">
        <v>360.0</v>
      </c>
      <c r="D3" s="49">
        <f t="shared" ref="D3:D10" si="1">C3*B3</f>
        <v>106200</v>
      </c>
    </row>
    <row r="4">
      <c r="A4" s="35" t="s">
        <v>51</v>
      </c>
      <c r="B4" s="48">
        <v>194.0</v>
      </c>
      <c r="C4" s="49">
        <v>1125.0</v>
      </c>
      <c r="D4" s="49">
        <f t="shared" si="1"/>
        <v>218250</v>
      </c>
    </row>
    <row r="5">
      <c r="A5" s="67" t="s">
        <v>59</v>
      </c>
      <c r="B5" s="48">
        <v>80.0</v>
      </c>
      <c r="C5" s="49">
        <v>180.0</v>
      </c>
      <c r="D5" s="49">
        <f t="shared" si="1"/>
        <v>14400</v>
      </c>
    </row>
    <row r="6">
      <c r="A6" s="67" t="s">
        <v>60</v>
      </c>
      <c r="B6" s="48">
        <v>1.0</v>
      </c>
      <c r="C6" s="61">
        <v>840.0</v>
      </c>
      <c r="D6" s="49">
        <f t="shared" si="1"/>
        <v>840</v>
      </c>
    </row>
    <row r="7">
      <c r="A7" s="67" t="s">
        <v>61</v>
      </c>
      <c r="B7" s="48">
        <v>0.0</v>
      </c>
      <c r="C7" s="61">
        <v>1036.0</v>
      </c>
      <c r="D7" s="49">
        <f t="shared" si="1"/>
        <v>0</v>
      </c>
    </row>
    <row r="8">
      <c r="A8" s="35" t="s">
        <v>14</v>
      </c>
      <c r="B8" s="48">
        <v>44.0</v>
      </c>
      <c r="C8" s="68">
        <v>230.0</v>
      </c>
      <c r="D8" s="49">
        <f t="shared" si="1"/>
        <v>10120</v>
      </c>
    </row>
    <row r="9">
      <c r="A9" s="35" t="s">
        <v>16</v>
      </c>
      <c r="B9" s="69">
        <v>41.0</v>
      </c>
      <c r="C9" s="70">
        <v>200.0</v>
      </c>
      <c r="D9" s="49">
        <f t="shared" si="1"/>
        <v>8200</v>
      </c>
    </row>
    <row r="10">
      <c r="A10" s="71" t="s">
        <v>17</v>
      </c>
      <c r="B10" s="72">
        <v>114.0</v>
      </c>
      <c r="C10" s="60">
        <v>495.0</v>
      </c>
      <c r="D10" s="49">
        <f t="shared" si="1"/>
        <v>56430</v>
      </c>
    </row>
    <row r="11">
      <c r="A11" s="32"/>
      <c r="B11" s="48"/>
      <c r="C11" s="73" t="s">
        <v>39</v>
      </c>
      <c r="D11" s="73">
        <f>SUM(D3:D10)</f>
        <v>414440</v>
      </c>
    </row>
    <row r="12">
      <c r="A12" s="52" t="s">
        <v>43</v>
      </c>
      <c r="B12" s="48"/>
      <c r="C12" s="49"/>
      <c r="D12" s="49"/>
    </row>
    <row r="13">
      <c r="A13" s="41" t="s">
        <v>44</v>
      </c>
      <c r="B13" s="60">
        <v>21.0</v>
      </c>
      <c r="C13" s="60">
        <v>250.0</v>
      </c>
      <c r="D13" s="49">
        <f t="shared" ref="D13:D19" si="2">C13*B13</f>
        <v>5250</v>
      </c>
    </row>
    <row r="14">
      <c r="A14" s="41" t="s">
        <v>45</v>
      </c>
      <c r="B14" s="60">
        <v>10.0</v>
      </c>
      <c r="C14" s="60">
        <v>800.0</v>
      </c>
      <c r="D14" s="49">
        <f t="shared" si="2"/>
        <v>8000</v>
      </c>
    </row>
    <row r="15">
      <c r="A15" s="41" t="s">
        <v>46</v>
      </c>
      <c r="B15" s="74">
        <v>1.0</v>
      </c>
      <c r="C15" s="74">
        <v>800.0</v>
      </c>
      <c r="D15" s="49">
        <f t="shared" si="2"/>
        <v>800</v>
      </c>
    </row>
    <row r="16">
      <c r="A16" s="41" t="s">
        <v>47</v>
      </c>
      <c r="B16" s="75">
        <v>8.0</v>
      </c>
      <c r="C16" s="75">
        <v>800.0</v>
      </c>
      <c r="D16" s="49">
        <f t="shared" si="2"/>
        <v>6400</v>
      </c>
    </row>
    <row r="17">
      <c r="A17" s="41" t="s">
        <v>48</v>
      </c>
      <c r="B17" s="60">
        <v>0.0</v>
      </c>
      <c r="C17" s="60">
        <v>800.0</v>
      </c>
      <c r="D17" s="49">
        <f t="shared" si="2"/>
        <v>0</v>
      </c>
    </row>
    <row r="18">
      <c r="A18" s="53" t="s">
        <v>62</v>
      </c>
      <c r="B18" s="60">
        <v>82.0</v>
      </c>
      <c r="C18" s="60">
        <v>1200.0</v>
      </c>
      <c r="D18" s="49">
        <f t="shared" si="2"/>
        <v>98400</v>
      </c>
    </row>
    <row r="19">
      <c r="A19" s="41" t="s">
        <v>49</v>
      </c>
      <c r="B19" s="75">
        <v>22.0</v>
      </c>
      <c r="C19" s="74">
        <v>600.0</v>
      </c>
      <c r="D19" s="49">
        <f t="shared" si="2"/>
        <v>13200</v>
      </c>
    </row>
    <row r="20">
      <c r="A20" s="43"/>
      <c r="B20" s="69"/>
      <c r="C20" s="76" t="s">
        <v>39</v>
      </c>
      <c r="D20" s="76">
        <f>SUM(D13:D19)</f>
        <v>132050</v>
      </c>
    </row>
    <row r="21">
      <c r="A21" s="77" t="s">
        <v>53</v>
      </c>
      <c r="B21" s="78"/>
      <c r="C21" s="78"/>
      <c r="D21" s="78"/>
    </row>
    <row r="22">
      <c r="A22" s="35" t="s">
        <v>54</v>
      </c>
      <c r="B22" s="78">
        <v>85.0</v>
      </c>
      <c r="C22" s="75">
        <v>280.0</v>
      </c>
      <c r="D22" s="49">
        <f t="shared" ref="D22:D23" si="3">C22*B22</f>
        <v>23800</v>
      </c>
    </row>
    <row r="23">
      <c r="A23" s="35" t="s">
        <v>55</v>
      </c>
      <c r="B23" s="78">
        <v>69.0</v>
      </c>
      <c r="C23" s="75">
        <v>120.0</v>
      </c>
      <c r="D23" s="49">
        <f t="shared" si="3"/>
        <v>8280</v>
      </c>
    </row>
    <row r="24">
      <c r="A24" s="79"/>
      <c r="B24" s="72"/>
      <c r="C24" s="80" t="s">
        <v>39</v>
      </c>
      <c r="D24" s="80">
        <f>SUM(D22:D23)</f>
        <v>32080</v>
      </c>
    </row>
    <row r="25">
      <c r="A25" s="37" t="s">
        <v>63</v>
      </c>
      <c r="B25" s="72"/>
      <c r="C25" s="72"/>
      <c r="D25" s="72"/>
    </row>
    <row r="26">
      <c r="A26" s="81" t="s">
        <v>64</v>
      </c>
      <c r="B26" s="63">
        <v>51.0</v>
      </c>
      <c r="C26" s="60">
        <v>117.0</v>
      </c>
      <c r="D26" s="60">
        <f t="shared" ref="D26:D39" si="4">C26*B26</f>
        <v>5967</v>
      </c>
    </row>
    <row r="27">
      <c r="A27" s="81" t="s">
        <v>65</v>
      </c>
      <c r="B27" s="59">
        <v>68.0</v>
      </c>
      <c r="C27" s="60">
        <v>110.0</v>
      </c>
      <c r="D27" s="60">
        <f t="shared" si="4"/>
        <v>7480</v>
      </c>
    </row>
    <row r="28">
      <c r="A28" s="81" t="s">
        <v>66</v>
      </c>
      <c r="B28" s="59">
        <v>0.0</v>
      </c>
      <c r="C28" s="60">
        <v>110.0</v>
      </c>
      <c r="D28" s="60">
        <f t="shared" si="4"/>
        <v>0</v>
      </c>
    </row>
    <row r="29">
      <c r="A29" s="81" t="s">
        <v>67</v>
      </c>
      <c r="B29" s="59">
        <v>700.0</v>
      </c>
      <c r="C29" s="75"/>
      <c r="D29" s="60">
        <f t="shared" si="4"/>
        <v>0</v>
      </c>
    </row>
    <row r="30">
      <c r="A30" s="81" t="s">
        <v>68</v>
      </c>
      <c r="B30" s="82">
        <v>17.0</v>
      </c>
      <c r="C30" s="75"/>
      <c r="D30" s="60">
        <f t="shared" si="4"/>
        <v>0</v>
      </c>
    </row>
    <row r="31">
      <c r="A31" s="81" t="s">
        <v>69</v>
      </c>
      <c r="B31" s="82">
        <v>120.0</v>
      </c>
      <c r="C31" s="75"/>
      <c r="D31" s="60">
        <f t="shared" si="4"/>
        <v>0</v>
      </c>
    </row>
    <row r="32">
      <c r="A32" s="81" t="s">
        <v>70</v>
      </c>
      <c r="B32" s="82">
        <v>173.0</v>
      </c>
      <c r="C32" s="75"/>
      <c r="D32" s="60">
        <f t="shared" si="4"/>
        <v>0</v>
      </c>
    </row>
    <row r="33">
      <c r="A33" s="81" t="s">
        <v>71</v>
      </c>
      <c r="B33" s="82">
        <v>106.0</v>
      </c>
      <c r="C33" s="75"/>
      <c r="D33" s="60">
        <f t="shared" si="4"/>
        <v>0</v>
      </c>
    </row>
    <row r="34">
      <c r="A34" s="81" t="s">
        <v>72</v>
      </c>
      <c r="B34" s="82">
        <v>159.0</v>
      </c>
      <c r="C34" s="75"/>
      <c r="D34" s="60">
        <f t="shared" si="4"/>
        <v>0</v>
      </c>
    </row>
    <row r="35">
      <c r="A35" s="81" t="s">
        <v>73</v>
      </c>
      <c r="B35" s="82">
        <v>18.0</v>
      </c>
      <c r="C35" s="75"/>
      <c r="D35" s="60">
        <f t="shared" si="4"/>
        <v>0</v>
      </c>
    </row>
    <row r="36">
      <c r="A36" s="81" t="s">
        <v>74</v>
      </c>
      <c r="B36" s="82">
        <v>92.0</v>
      </c>
      <c r="C36" s="75"/>
      <c r="D36" s="60">
        <f t="shared" si="4"/>
        <v>0</v>
      </c>
    </row>
    <row r="37">
      <c r="A37" s="81" t="s">
        <v>75</v>
      </c>
      <c r="B37" s="82">
        <v>60.0</v>
      </c>
      <c r="C37" s="75"/>
      <c r="D37" s="60">
        <f t="shared" si="4"/>
        <v>0</v>
      </c>
    </row>
    <row r="38">
      <c r="A38" s="81" t="s">
        <v>76</v>
      </c>
      <c r="B38" s="83">
        <v>1.0</v>
      </c>
      <c r="C38" s="75"/>
      <c r="D38" s="60">
        <f t="shared" si="4"/>
        <v>0</v>
      </c>
    </row>
    <row r="39">
      <c r="A39" s="81" t="s">
        <v>77</v>
      </c>
      <c r="B39" s="75">
        <v>9.0</v>
      </c>
      <c r="C39" s="75">
        <v>230.0</v>
      </c>
      <c r="D39" s="60">
        <f t="shared" si="4"/>
        <v>2070</v>
      </c>
    </row>
    <row r="40">
      <c r="A40" s="43"/>
      <c r="B40" s="43"/>
      <c r="C40" s="76" t="s">
        <v>39</v>
      </c>
      <c r="D40" s="76">
        <f>SUM(D26:D39)</f>
        <v>15517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3" max="3" width="13.88"/>
    <col customWidth="1" min="4" max="4" width="25.0"/>
    <col customWidth="1" min="6" max="6" width="18.25"/>
  </cols>
  <sheetData>
    <row r="1">
      <c r="A1" s="30" t="s">
        <v>58</v>
      </c>
      <c r="B1" s="45" t="s">
        <v>6</v>
      </c>
      <c r="C1" s="45" t="s">
        <v>8</v>
      </c>
      <c r="D1" s="45" t="s">
        <v>41</v>
      </c>
    </row>
    <row r="2">
      <c r="A2" s="46" t="s">
        <v>42</v>
      </c>
      <c r="B2" s="34"/>
      <c r="C2" s="34"/>
      <c r="D2" s="34"/>
    </row>
    <row r="3">
      <c r="A3" s="35" t="s">
        <v>10</v>
      </c>
      <c r="B3" s="57">
        <v>397.0</v>
      </c>
      <c r="C3" s="49">
        <v>360.0</v>
      </c>
      <c r="D3" s="49">
        <f t="shared" ref="D3:D10" si="1">C3*B3</f>
        <v>142920</v>
      </c>
    </row>
    <row r="4">
      <c r="A4" s="35" t="s">
        <v>51</v>
      </c>
      <c r="B4" s="57">
        <v>154.0</v>
      </c>
      <c r="C4" s="49">
        <v>1125.0</v>
      </c>
      <c r="D4" s="49">
        <f t="shared" si="1"/>
        <v>173250</v>
      </c>
    </row>
    <row r="5">
      <c r="A5" s="67" t="s">
        <v>59</v>
      </c>
      <c r="B5" s="57">
        <v>0.0</v>
      </c>
      <c r="C5" s="49">
        <v>180.0</v>
      </c>
      <c r="D5" s="49">
        <f t="shared" si="1"/>
        <v>0</v>
      </c>
    </row>
    <row r="6">
      <c r="A6" s="67" t="s">
        <v>60</v>
      </c>
      <c r="B6" s="48">
        <v>1.0</v>
      </c>
      <c r="C6" s="61">
        <v>840.0</v>
      </c>
      <c r="D6" s="49">
        <f t="shared" si="1"/>
        <v>840</v>
      </c>
    </row>
    <row r="7">
      <c r="A7" s="67" t="s">
        <v>61</v>
      </c>
      <c r="B7" s="48">
        <v>0.0</v>
      </c>
      <c r="C7" s="61">
        <v>1036.0</v>
      </c>
      <c r="D7" s="49">
        <f t="shared" si="1"/>
        <v>0</v>
      </c>
    </row>
    <row r="8">
      <c r="A8" s="35" t="s">
        <v>14</v>
      </c>
      <c r="B8" s="57">
        <v>1.0</v>
      </c>
      <c r="C8" s="68">
        <v>230.0</v>
      </c>
      <c r="D8" s="49">
        <f t="shared" si="1"/>
        <v>230</v>
      </c>
    </row>
    <row r="9">
      <c r="A9" s="35" t="s">
        <v>16</v>
      </c>
      <c r="B9" s="84">
        <v>31.0</v>
      </c>
      <c r="C9" s="70">
        <v>200.0</v>
      </c>
      <c r="D9" s="49">
        <f t="shared" si="1"/>
        <v>6200</v>
      </c>
    </row>
    <row r="10">
      <c r="A10" s="71" t="s">
        <v>17</v>
      </c>
      <c r="B10" s="63">
        <v>7.0</v>
      </c>
      <c r="C10" s="60">
        <v>495.0</v>
      </c>
      <c r="D10" s="49">
        <f t="shared" si="1"/>
        <v>3465</v>
      </c>
    </row>
    <row r="11">
      <c r="A11" s="32"/>
      <c r="B11" s="48"/>
      <c r="C11" s="73" t="s">
        <v>39</v>
      </c>
      <c r="D11" s="73">
        <f>SUM(D3:D10)</f>
        <v>326905</v>
      </c>
    </row>
    <row r="12">
      <c r="A12" s="52" t="s">
        <v>43</v>
      </c>
      <c r="B12" s="48"/>
      <c r="C12" s="49"/>
      <c r="D12" s="49"/>
    </row>
    <row r="13">
      <c r="A13" s="41" t="s">
        <v>44</v>
      </c>
      <c r="B13" s="59">
        <v>25.0</v>
      </c>
      <c r="C13" s="60">
        <v>250.0</v>
      </c>
      <c r="D13" s="49">
        <f t="shared" ref="D13:D19" si="2">C13*B13</f>
        <v>6250</v>
      </c>
    </row>
    <row r="14">
      <c r="A14" s="41" t="s">
        <v>45</v>
      </c>
      <c r="B14" s="59">
        <v>7.0</v>
      </c>
      <c r="C14" s="60">
        <v>800.0</v>
      </c>
      <c r="D14" s="49">
        <f t="shared" si="2"/>
        <v>5600</v>
      </c>
    </row>
    <row r="15">
      <c r="A15" s="41" t="s">
        <v>46</v>
      </c>
      <c r="B15" s="74"/>
      <c r="C15" s="74">
        <v>800.0</v>
      </c>
      <c r="D15" s="49">
        <f t="shared" si="2"/>
        <v>0</v>
      </c>
    </row>
    <row r="16">
      <c r="A16" s="41" t="s">
        <v>47</v>
      </c>
      <c r="B16" s="75"/>
      <c r="C16" s="75">
        <v>800.0</v>
      </c>
      <c r="D16" s="49">
        <f t="shared" si="2"/>
        <v>0</v>
      </c>
    </row>
    <row r="17">
      <c r="A17" s="41" t="s">
        <v>48</v>
      </c>
      <c r="B17" s="60"/>
      <c r="C17" s="60">
        <v>800.0</v>
      </c>
      <c r="D17" s="49">
        <f t="shared" si="2"/>
        <v>0</v>
      </c>
    </row>
    <row r="18">
      <c r="A18" s="53" t="s">
        <v>62</v>
      </c>
      <c r="B18" s="59">
        <v>42.0</v>
      </c>
      <c r="C18" s="60">
        <v>1200.0</v>
      </c>
      <c r="D18" s="49">
        <f t="shared" si="2"/>
        <v>50400</v>
      </c>
    </row>
    <row r="19">
      <c r="A19" s="41" t="s">
        <v>49</v>
      </c>
      <c r="B19" s="82">
        <v>24.0</v>
      </c>
      <c r="C19" s="74">
        <v>600.0</v>
      </c>
      <c r="D19" s="49">
        <f t="shared" si="2"/>
        <v>14400</v>
      </c>
    </row>
    <row r="20">
      <c r="A20" s="43"/>
      <c r="B20" s="69"/>
      <c r="C20" s="76" t="s">
        <v>39</v>
      </c>
      <c r="D20" s="76">
        <f>SUM(D13:D19)</f>
        <v>76650</v>
      </c>
    </row>
    <row r="21">
      <c r="A21" s="77" t="s">
        <v>53</v>
      </c>
      <c r="B21" s="78"/>
      <c r="C21" s="78"/>
      <c r="D21" s="78"/>
    </row>
    <row r="22">
      <c r="A22" s="35" t="s">
        <v>54</v>
      </c>
      <c r="B22" s="83">
        <v>109.0</v>
      </c>
      <c r="C22" s="75">
        <v>280.0</v>
      </c>
      <c r="D22" s="49">
        <f t="shared" ref="D22:D23" si="3">C22*B22</f>
        <v>30520</v>
      </c>
    </row>
    <row r="23">
      <c r="A23" s="35" t="s">
        <v>55</v>
      </c>
      <c r="B23" s="83">
        <v>20.0</v>
      </c>
      <c r="C23" s="75">
        <v>120.0</v>
      </c>
      <c r="D23" s="49">
        <f t="shared" si="3"/>
        <v>2400</v>
      </c>
    </row>
    <row r="24">
      <c r="A24" s="79"/>
      <c r="B24" s="72"/>
      <c r="C24" s="80" t="s">
        <v>39</v>
      </c>
      <c r="D24" s="80">
        <f>SUM(D22:D23)</f>
        <v>32920</v>
      </c>
    </row>
    <row r="25">
      <c r="A25" s="37" t="s">
        <v>63</v>
      </c>
      <c r="B25" s="72"/>
      <c r="C25" s="72"/>
      <c r="D25" s="72"/>
    </row>
    <row r="26">
      <c r="A26" s="81" t="s">
        <v>64</v>
      </c>
      <c r="B26" s="63">
        <v>142.0</v>
      </c>
      <c r="C26" s="60">
        <v>117.0</v>
      </c>
      <c r="D26" s="60">
        <f t="shared" ref="D26:D39" si="4">C26*B26</f>
        <v>16614</v>
      </c>
    </row>
    <row r="27">
      <c r="A27" s="81" t="s">
        <v>65</v>
      </c>
      <c r="B27" s="59">
        <v>401.0</v>
      </c>
      <c r="C27" s="60">
        <v>110.0</v>
      </c>
      <c r="D27" s="60">
        <f t="shared" si="4"/>
        <v>44110</v>
      </c>
    </row>
    <row r="28">
      <c r="A28" s="81" t="s">
        <v>66</v>
      </c>
      <c r="B28" s="59">
        <v>0.0</v>
      </c>
      <c r="C28" s="60">
        <v>110.0</v>
      </c>
      <c r="D28" s="60">
        <f t="shared" si="4"/>
        <v>0</v>
      </c>
    </row>
    <row r="29">
      <c r="A29" s="81" t="s">
        <v>67</v>
      </c>
      <c r="B29" s="59">
        <v>5.0</v>
      </c>
      <c r="C29" s="75"/>
      <c r="D29" s="60">
        <f t="shared" si="4"/>
        <v>0</v>
      </c>
    </row>
    <row r="30">
      <c r="A30" s="81" t="s">
        <v>68</v>
      </c>
      <c r="B30" s="82">
        <v>0.0</v>
      </c>
      <c r="C30" s="75"/>
      <c r="D30" s="60">
        <f t="shared" si="4"/>
        <v>0</v>
      </c>
    </row>
    <row r="31">
      <c r="A31" s="81" t="s">
        <v>69</v>
      </c>
      <c r="B31" s="82">
        <v>23.0</v>
      </c>
      <c r="C31" s="75"/>
      <c r="D31" s="60">
        <f t="shared" si="4"/>
        <v>0</v>
      </c>
    </row>
    <row r="32">
      <c r="A32" s="81" t="s">
        <v>70</v>
      </c>
      <c r="B32" s="82">
        <v>49.0</v>
      </c>
      <c r="C32" s="75"/>
      <c r="D32" s="60">
        <f t="shared" si="4"/>
        <v>0</v>
      </c>
    </row>
    <row r="33">
      <c r="A33" s="81" t="s">
        <v>71</v>
      </c>
      <c r="B33" s="82">
        <v>25.0</v>
      </c>
      <c r="C33" s="75"/>
      <c r="D33" s="60">
        <f t="shared" si="4"/>
        <v>0</v>
      </c>
    </row>
    <row r="34">
      <c r="A34" s="81" t="s">
        <v>72</v>
      </c>
      <c r="B34" s="82">
        <v>0.0</v>
      </c>
      <c r="C34" s="75"/>
      <c r="D34" s="60">
        <f t="shared" si="4"/>
        <v>0</v>
      </c>
    </row>
    <row r="35">
      <c r="A35" s="81" t="s">
        <v>73</v>
      </c>
      <c r="B35" s="82">
        <v>0.0</v>
      </c>
      <c r="C35" s="75"/>
      <c r="D35" s="60">
        <f t="shared" si="4"/>
        <v>0</v>
      </c>
    </row>
    <row r="36">
      <c r="A36" s="81" t="s">
        <v>74</v>
      </c>
      <c r="B36" s="82">
        <v>37.0</v>
      </c>
      <c r="C36" s="75"/>
      <c r="D36" s="60">
        <f t="shared" si="4"/>
        <v>0</v>
      </c>
    </row>
    <row r="37">
      <c r="A37" s="81" t="s">
        <v>75</v>
      </c>
      <c r="B37" s="82">
        <v>4.0</v>
      </c>
      <c r="C37" s="75"/>
      <c r="D37" s="60">
        <f t="shared" si="4"/>
        <v>0</v>
      </c>
    </row>
    <row r="38">
      <c r="A38" s="81" t="s">
        <v>76</v>
      </c>
      <c r="B38" s="83">
        <v>2.0</v>
      </c>
      <c r="C38" s="75"/>
      <c r="D38" s="60">
        <f t="shared" si="4"/>
        <v>0</v>
      </c>
    </row>
    <row r="39">
      <c r="A39" s="81" t="s">
        <v>77</v>
      </c>
      <c r="B39" s="82">
        <v>0.0</v>
      </c>
      <c r="C39" s="75">
        <v>230.0</v>
      </c>
      <c r="D39" s="60">
        <f t="shared" si="4"/>
        <v>0</v>
      </c>
    </row>
    <row r="40">
      <c r="A40" s="43"/>
      <c r="B40" s="43"/>
      <c r="C40" s="76" t="s">
        <v>39</v>
      </c>
      <c r="D40" s="76">
        <f>SUM(D26:D39)</f>
        <v>60724</v>
      </c>
    </row>
  </sheetData>
  <drawing r:id="rId1"/>
</worksheet>
</file>